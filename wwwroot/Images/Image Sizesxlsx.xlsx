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rmoy\source\repos\ComponentTesting\wwwroot\Images\"/>
    </mc:Choice>
  </mc:AlternateContent>
  <xr:revisionPtr revIDLastSave="0" documentId="8_{E45FA361-918C-4539-8D79-C273508C1BB4}" xr6:coauthVersionLast="44" xr6:coauthVersionMax="44" xr10:uidLastSave="{00000000-0000-0000-0000-000000000000}"/>
  <bookViews>
    <workbookView xWindow="-28920" yWindow="-1635" windowWidth="29040" windowHeight="15840" xr2:uid="{9377A4D1-158B-43BD-98E2-ADC12980DB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1" i="1" l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L1" i="1"/>
  <c r="F3" i="1" s="1"/>
  <c r="G3" i="1" s="1"/>
  <c r="E6" i="1"/>
  <c r="E3" i="1"/>
  <c r="E4" i="1"/>
  <c r="E5" i="1"/>
  <c r="F24" i="1" l="1"/>
  <c r="G24" i="1" s="1"/>
  <c r="F8" i="1"/>
  <c r="G8" i="1" s="1"/>
  <c r="F34" i="1"/>
  <c r="G34" i="1" s="1"/>
  <c r="F26" i="1"/>
  <c r="G26" i="1" s="1"/>
  <c r="F18" i="1"/>
  <c r="G18" i="1" s="1"/>
  <c r="F10" i="1"/>
  <c r="G10" i="1" s="1"/>
  <c r="F33" i="1"/>
  <c r="G33" i="1" s="1"/>
  <c r="F25" i="1"/>
  <c r="G25" i="1" s="1"/>
  <c r="F17" i="1"/>
  <c r="G17" i="1" s="1"/>
  <c r="F9" i="1"/>
  <c r="G9" i="1" s="1"/>
  <c r="F31" i="1"/>
  <c r="G31" i="1" s="1"/>
  <c r="F23" i="1"/>
  <c r="G23" i="1" s="1"/>
  <c r="F15" i="1"/>
  <c r="G15" i="1" s="1"/>
  <c r="F7" i="1"/>
  <c r="G7" i="1" s="1"/>
  <c r="F30" i="1"/>
  <c r="G30" i="1" s="1"/>
  <c r="F22" i="1"/>
  <c r="G22" i="1" s="1"/>
  <c r="F14" i="1"/>
  <c r="G14" i="1" s="1"/>
  <c r="F6" i="1"/>
  <c r="G6" i="1" s="1"/>
  <c r="F29" i="1"/>
  <c r="G29" i="1" s="1"/>
  <c r="F21" i="1"/>
  <c r="G21" i="1" s="1"/>
  <c r="F13" i="1"/>
  <c r="G13" i="1" s="1"/>
  <c r="F5" i="1"/>
  <c r="G5" i="1" s="1"/>
  <c r="F28" i="1"/>
  <c r="G28" i="1" s="1"/>
  <c r="F20" i="1"/>
  <c r="G20" i="1" s="1"/>
  <c r="F12" i="1"/>
  <c r="G12" i="1" s="1"/>
  <c r="F4" i="1"/>
  <c r="G4" i="1" s="1"/>
  <c r="F32" i="1"/>
  <c r="G32" i="1" s="1"/>
  <c r="F16" i="1"/>
  <c r="G16" i="1" s="1"/>
  <c r="F27" i="1"/>
  <c r="G27" i="1" s="1"/>
  <c r="F19" i="1"/>
  <c r="G19" i="1" s="1"/>
  <c r="F11" i="1"/>
  <c r="G11" i="1" s="1"/>
</calcChain>
</file>

<file path=xl/sharedStrings.xml><?xml version="1.0" encoding="utf-8"?>
<sst xmlns="http://schemas.openxmlformats.org/spreadsheetml/2006/main" count="40" uniqueCount="40">
  <si>
    <t>Team</t>
  </si>
  <si>
    <t>AZ</t>
  </si>
  <si>
    <t>ATL</t>
  </si>
  <si>
    <t>Aspect Ratio</t>
  </si>
  <si>
    <t>BAL</t>
  </si>
  <si>
    <t>BUF</t>
  </si>
  <si>
    <t>CAR</t>
  </si>
  <si>
    <t>CHI</t>
  </si>
  <si>
    <t>CIN</t>
  </si>
  <si>
    <t>CLE</t>
  </si>
  <si>
    <t>DAL</t>
  </si>
  <si>
    <t>DEN</t>
  </si>
  <si>
    <t>DET</t>
  </si>
  <si>
    <t>GB</t>
  </si>
  <si>
    <t>HOU</t>
  </si>
  <si>
    <t>IND</t>
  </si>
  <si>
    <t>JAX</t>
  </si>
  <si>
    <t>KC</t>
  </si>
  <si>
    <t>LAC</t>
  </si>
  <si>
    <t>LAR</t>
  </si>
  <si>
    <t>MIA</t>
  </si>
  <si>
    <t>MIN</t>
  </si>
  <si>
    <t>NE</t>
  </si>
  <si>
    <t>NO</t>
  </si>
  <si>
    <t>NYG</t>
  </si>
  <si>
    <t>NYJ</t>
  </si>
  <si>
    <t>OAK</t>
  </si>
  <si>
    <t>PHI</t>
  </si>
  <si>
    <t>PIT</t>
  </si>
  <si>
    <t>SF</t>
  </si>
  <si>
    <t>SEA</t>
  </si>
  <si>
    <t>TB</t>
  </si>
  <si>
    <t>TEN</t>
  </si>
  <si>
    <t>WAS</t>
  </si>
  <si>
    <t>Height (new std.)</t>
  </si>
  <si>
    <t>Width (height std.)</t>
  </si>
  <si>
    <t>Logo Width</t>
  </si>
  <si>
    <t>Logo Height</t>
  </si>
  <si>
    <t>TeamName Height</t>
  </si>
  <si>
    <t>TeamName 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</si>
</sst>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9CD99D-0103-47D7-811C-3DD8C6424B36}" name="Table1" displayName="Table1" ref="B2:I34" totalsRowShown="0" headerRowDxfId="5">
  <autoFilter ref="B2:I34" xr:uid="{B1BB1A3C-6D1F-4CD9-BBE7-B263FE1A34D0}"/>
  <tableColumns count="8">
    <tableColumn id="1" xr3:uid="{2026A199-7264-4997-8AFD-4679B8E01266}" name="Team"/>
    <tableColumn id="2" xr3:uid="{4575CF37-0E03-4829-A14B-95D7004CE650}" name="Logo Width"/>
    <tableColumn id="3" xr3:uid="{67D55945-1AA4-427D-B730-98EB50683D60}" name="Logo Height"/>
    <tableColumn id="4" xr3:uid="{332394DE-00C0-401C-835C-B7D43C12A842}" name="Aspect Ratio" dataDxfId="4">
      <calculatedColumnFormula>Table1[[#This Row],[Logo Width]]/Table1[[#This Row],[Logo Height]]</calculatedColumnFormula>
    </tableColumn>
    <tableColumn id="5" xr3:uid="{156E36F8-4557-465C-9B82-56789C7CB753}" name="Height (new std.)" dataDxfId="3">
      <calculatedColumnFormula>$L$1</calculatedColumnFormula>
    </tableColumn>
    <tableColumn id="6" xr3:uid="{46CA6C60-F0BB-4297-872E-3367291E724E}" name="Width (height std.)" dataDxfId="2">
      <calculatedColumnFormula>Table1[[#This Row],[Height (new std.)]]*Table1[[#This Row],[Aspect Ratio]]</calculatedColumnFormula>
    </tableColumn>
    <tableColumn id="7" xr3:uid="{B2646F05-66D4-44E9-9B6A-E997AA3195E8}" name="TeamName Width" dataDxfId="1"/>
    <tableColumn id="8" xr3:uid="{D5DA114F-5D3B-49E5-B75D-46CB4B87A7BD}" name="TeamName Heigh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CFA63-3EEE-433C-8E2C-B6EC4800CA5D}">
  <dimension ref="B1:M34"/>
  <sheetViews>
    <sheetView tabSelected="1" workbookViewId="0">
      <selection activeCell="M2" sqref="M2"/>
    </sheetView>
  </sheetViews>
  <sheetFormatPr defaultRowHeight="15" x14ac:dyDescent="0.25"/>
  <cols>
    <col min="5" max="5" width="14.28515625" bestFit="1" customWidth="1"/>
    <col min="6" max="6" width="18.7109375" bestFit="1" customWidth="1"/>
    <col min="7" max="7" width="20.42578125" bestFit="1" customWidth="1"/>
    <col min="8" max="8" width="20" bestFit="1" customWidth="1"/>
    <col min="9" max="9" width="19.7109375" bestFit="1" customWidth="1"/>
  </cols>
  <sheetData>
    <row r="1" spans="2:13" x14ac:dyDescent="0.25">
      <c r="L1">
        <f>MIN(Table1[Logo Height])</f>
        <v>974</v>
      </c>
      <c r="M1">
        <f>MIN(Table1[TeamName Width])</f>
        <v>800</v>
      </c>
    </row>
    <row r="2" spans="2:13" x14ac:dyDescent="0.25">
      <c r="B2" s="1" t="s">
        <v>0</v>
      </c>
      <c r="C2" s="1" t="s">
        <v>36</v>
      </c>
      <c r="D2" s="1" t="s">
        <v>37</v>
      </c>
      <c r="E2" s="1" t="s">
        <v>3</v>
      </c>
      <c r="F2" s="1" t="s">
        <v>34</v>
      </c>
      <c r="G2" s="1" t="s">
        <v>35</v>
      </c>
      <c r="H2" s="1" t="s">
        <v>39</v>
      </c>
      <c r="I2" s="1" t="s">
        <v>38</v>
      </c>
    </row>
    <row r="3" spans="2:13" x14ac:dyDescent="0.25">
      <c r="B3" t="s">
        <v>1</v>
      </c>
      <c r="C3">
        <v>2400</v>
      </c>
      <c r="D3">
        <v>1981</v>
      </c>
      <c r="E3">
        <f>Table1[[#This Row],[Logo Width]]/Table1[[#This Row],[Logo Height]]</f>
        <v>1.2115093387178193</v>
      </c>
      <c r="F3">
        <f t="shared" ref="F3:F34" si="0">$L$1</f>
        <v>974</v>
      </c>
      <c r="G3">
        <f>Table1[[#This Row],[Height (new std.)]]*Table1[[#This Row],[Aspect Ratio]]</f>
        <v>1180.010095911156</v>
      </c>
      <c r="H3" s="2"/>
      <c r="I3" s="2"/>
    </row>
    <row r="4" spans="2:13" x14ac:dyDescent="0.25">
      <c r="B4" t="s">
        <v>2</v>
      </c>
      <c r="C4">
        <v>2400</v>
      </c>
      <c r="D4">
        <v>2289</v>
      </c>
      <c r="E4">
        <f>Table1[[#This Row],[Logo Width]]/Table1[[#This Row],[Logo Height]]</f>
        <v>1.0484927916120577</v>
      </c>
      <c r="F4">
        <f t="shared" si="0"/>
        <v>974</v>
      </c>
      <c r="G4">
        <f>Table1[[#This Row],[Height (new std.)]]*Table1[[#This Row],[Aspect Ratio]]</f>
        <v>1021.2319790301442</v>
      </c>
      <c r="H4" s="2">
        <v>800</v>
      </c>
      <c r="I4" s="2">
        <v>300</v>
      </c>
    </row>
    <row r="5" spans="2:13" x14ac:dyDescent="0.25">
      <c r="B5" t="s">
        <v>4</v>
      </c>
      <c r="C5">
        <v>2400</v>
      </c>
      <c r="D5">
        <v>1480</v>
      </c>
      <c r="E5">
        <f>Table1[[#This Row],[Logo Width]]/Table1[[#This Row],[Logo Height]]</f>
        <v>1.6216216216216217</v>
      </c>
      <c r="F5">
        <f t="shared" si="0"/>
        <v>974</v>
      </c>
      <c r="G5">
        <f>Table1[[#This Row],[Height (new std.)]]*Table1[[#This Row],[Aspect Ratio]]</f>
        <v>1579.4594594594596</v>
      </c>
      <c r="H5" s="2">
        <v>2400</v>
      </c>
      <c r="I5" s="2">
        <v>800</v>
      </c>
    </row>
    <row r="6" spans="2:13" x14ac:dyDescent="0.25">
      <c r="B6" t="s">
        <v>5</v>
      </c>
      <c r="C6">
        <v>2400</v>
      </c>
      <c r="D6">
        <v>1700</v>
      </c>
      <c r="E6" s="2">
        <f>Table1[[#This Row],[Logo Width]]/Table1[[#This Row],[Logo Height]]</f>
        <v>1.411764705882353</v>
      </c>
      <c r="F6">
        <f t="shared" si="0"/>
        <v>974</v>
      </c>
      <c r="G6">
        <f>Table1[[#This Row],[Height (new std.)]]*Table1[[#This Row],[Aspect Ratio]]</f>
        <v>1375.0588235294119</v>
      </c>
      <c r="H6" s="2">
        <v>2400</v>
      </c>
      <c r="I6" s="2">
        <v>800</v>
      </c>
    </row>
    <row r="7" spans="2:13" x14ac:dyDescent="0.25">
      <c r="B7" t="s">
        <v>6</v>
      </c>
      <c r="C7">
        <v>2400</v>
      </c>
      <c r="D7">
        <v>1600</v>
      </c>
      <c r="E7" s="2">
        <f>Table1[[#This Row],[Logo Width]]/Table1[[#This Row],[Logo Height]]</f>
        <v>1.5</v>
      </c>
      <c r="F7">
        <f t="shared" si="0"/>
        <v>974</v>
      </c>
      <c r="G7">
        <f>Table1[[#This Row],[Height (new std.)]]*Table1[[#This Row],[Aspect Ratio]]</f>
        <v>1461</v>
      </c>
      <c r="H7" s="2">
        <v>1600</v>
      </c>
      <c r="I7" s="2">
        <v>800</v>
      </c>
    </row>
    <row r="8" spans="2:13" x14ac:dyDescent="0.25">
      <c r="B8" t="s">
        <v>7</v>
      </c>
      <c r="C8">
        <v>2400</v>
      </c>
      <c r="D8">
        <v>1600</v>
      </c>
      <c r="E8" s="2">
        <f>Table1[[#This Row],[Logo Width]]/Table1[[#This Row],[Logo Height]]</f>
        <v>1.5</v>
      </c>
      <c r="F8">
        <f t="shared" si="0"/>
        <v>974</v>
      </c>
      <c r="G8">
        <f>Table1[[#This Row],[Height (new std.)]]*Table1[[#This Row],[Aspect Ratio]]</f>
        <v>1461</v>
      </c>
      <c r="H8" s="2">
        <v>2400</v>
      </c>
      <c r="I8" s="2">
        <v>600</v>
      </c>
    </row>
    <row r="9" spans="2:13" x14ac:dyDescent="0.25">
      <c r="B9" t="s">
        <v>8</v>
      </c>
      <c r="C9">
        <v>2400</v>
      </c>
      <c r="D9">
        <v>1800</v>
      </c>
      <c r="E9" s="2">
        <f>Table1[[#This Row],[Logo Width]]/Table1[[#This Row],[Logo Height]]</f>
        <v>1.3333333333333333</v>
      </c>
      <c r="F9">
        <f t="shared" si="0"/>
        <v>974</v>
      </c>
      <c r="G9">
        <f>Table1[[#This Row],[Height (new std.)]]*Table1[[#This Row],[Aspect Ratio]]</f>
        <v>1298.6666666666665</v>
      </c>
      <c r="H9" s="2">
        <v>2400</v>
      </c>
      <c r="I9" s="2">
        <v>600</v>
      </c>
    </row>
    <row r="10" spans="2:13" x14ac:dyDescent="0.25">
      <c r="B10" t="s">
        <v>9</v>
      </c>
      <c r="C10">
        <v>2400</v>
      </c>
      <c r="D10">
        <v>2000</v>
      </c>
      <c r="E10" s="2">
        <f>Table1[[#This Row],[Logo Width]]/Table1[[#This Row],[Logo Height]]</f>
        <v>1.2</v>
      </c>
      <c r="F10">
        <f t="shared" si="0"/>
        <v>974</v>
      </c>
      <c r="G10">
        <f>Table1[[#This Row],[Height (new std.)]]*Table1[[#This Row],[Aspect Ratio]]</f>
        <v>1168.8</v>
      </c>
      <c r="H10" s="2">
        <v>2400</v>
      </c>
      <c r="I10" s="2">
        <v>1200</v>
      </c>
    </row>
    <row r="11" spans="2:13" x14ac:dyDescent="0.25">
      <c r="B11" t="s">
        <v>10</v>
      </c>
      <c r="C11">
        <v>2400</v>
      </c>
      <c r="D11">
        <v>2200</v>
      </c>
      <c r="E11" s="2">
        <f>Table1[[#This Row],[Logo Width]]/Table1[[#This Row],[Logo Height]]</f>
        <v>1.0909090909090908</v>
      </c>
      <c r="F11">
        <f t="shared" si="0"/>
        <v>974</v>
      </c>
      <c r="G11">
        <f>Table1[[#This Row],[Height (new std.)]]*Table1[[#This Row],[Aspect Ratio]]</f>
        <v>1062.5454545454545</v>
      </c>
      <c r="H11" s="2">
        <v>1200</v>
      </c>
      <c r="I11" s="2">
        <v>400</v>
      </c>
    </row>
    <row r="12" spans="2:13" x14ac:dyDescent="0.25">
      <c r="B12" t="s">
        <v>11</v>
      </c>
      <c r="C12">
        <v>2400</v>
      </c>
      <c r="D12">
        <v>1600</v>
      </c>
      <c r="E12" s="2">
        <f>Table1[[#This Row],[Logo Width]]/Table1[[#This Row],[Logo Height]]</f>
        <v>1.5</v>
      </c>
      <c r="F12">
        <f t="shared" si="0"/>
        <v>974</v>
      </c>
      <c r="G12">
        <f>Table1[[#This Row],[Height (new std.)]]*Table1[[#This Row],[Aspect Ratio]]</f>
        <v>1461</v>
      </c>
      <c r="H12" s="2">
        <v>2400</v>
      </c>
      <c r="I12" s="2">
        <v>800</v>
      </c>
    </row>
    <row r="13" spans="2:13" x14ac:dyDescent="0.25">
      <c r="B13" t="s">
        <v>12</v>
      </c>
      <c r="C13">
        <v>2400</v>
      </c>
      <c r="D13">
        <v>2000</v>
      </c>
      <c r="E13" s="2">
        <f>Table1[[#This Row],[Logo Width]]/Table1[[#This Row],[Logo Height]]</f>
        <v>1.2</v>
      </c>
      <c r="F13">
        <f t="shared" si="0"/>
        <v>974</v>
      </c>
      <c r="G13">
        <f>Table1[[#This Row],[Height (new std.)]]*Table1[[#This Row],[Aspect Ratio]]</f>
        <v>1168.8</v>
      </c>
      <c r="H13" s="2">
        <v>2400</v>
      </c>
      <c r="I13" s="2">
        <v>800</v>
      </c>
    </row>
    <row r="14" spans="2:13" x14ac:dyDescent="0.25">
      <c r="B14" t="s">
        <v>13</v>
      </c>
      <c r="C14">
        <v>2400</v>
      </c>
      <c r="D14">
        <v>1700</v>
      </c>
      <c r="E14" s="2">
        <f>Table1[[#This Row],[Logo Width]]/Table1[[#This Row],[Logo Height]]</f>
        <v>1.411764705882353</v>
      </c>
      <c r="F14">
        <f t="shared" si="0"/>
        <v>974</v>
      </c>
      <c r="G14">
        <f>Table1[[#This Row],[Height (new std.)]]*Table1[[#This Row],[Aspect Ratio]]</f>
        <v>1375.0588235294119</v>
      </c>
      <c r="H14" s="2">
        <v>2400</v>
      </c>
      <c r="I14" s="2">
        <v>900</v>
      </c>
    </row>
    <row r="15" spans="2:13" x14ac:dyDescent="0.25">
      <c r="B15" t="s">
        <v>14</v>
      </c>
      <c r="C15">
        <v>2400</v>
      </c>
      <c r="D15">
        <v>2200</v>
      </c>
      <c r="E15" s="2">
        <f>Table1[[#This Row],[Logo Width]]/Table1[[#This Row],[Logo Height]]</f>
        <v>1.0909090909090908</v>
      </c>
      <c r="F15">
        <f t="shared" si="0"/>
        <v>974</v>
      </c>
      <c r="G15">
        <f>Table1[[#This Row],[Height (new std.)]]*Table1[[#This Row],[Aspect Ratio]]</f>
        <v>1062.5454545454545</v>
      </c>
      <c r="H15" s="2">
        <v>2400</v>
      </c>
      <c r="I15" s="2">
        <v>600</v>
      </c>
    </row>
    <row r="16" spans="2:13" x14ac:dyDescent="0.25">
      <c r="B16" t="s">
        <v>15</v>
      </c>
      <c r="C16">
        <v>2400</v>
      </c>
      <c r="D16">
        <v>2400</v>
      </c>
      <c r="E16" s="2">
        <f>Table1[[#This Row],[Logo Width]]/Table1[[#This Row],[Logo Height]]</f>
        <v>1</v>
      </c>
      <c r="F16">
        <f t="shared" si="0"/>
        <v>974</v>
      </c>
      <c r="G16">
        <f>Table1[[#This Row],[Height (new std.)]]*Table1[[#This Row],[Aspect Ratio]]</f>
        <v>974</v>
      </c>
      <c r="H16" s="2">
        <v>2400</v>
      </c>
      <c r="I16" s="2">
        <v>1600</v>
      </c>
    </row>
    <row r="17" spans="2:9" x14ac:dyDescent="0.25">
      <c r="B17" t="s">
        <v>16</v>
      </c>
      <c r="C17">
        <v>2400</v>
      </c>
      <c r="D17">
        <v>1900</v>
      </c>
      <c r="E17" s="2">
        <f>Table1[[#This Row],[Logo Width]]/Table1[[#This Row],[Logo Height]]</f>
        <v>1.263157894736842</v>
      </c>
      <c r="F17">
        <f t="shared" si="0"/>
        <v>974</v>
      </c>
      <c r="G17">
        <f>Table1[[#This Row],[Height (new std.)]]*Table1[[#This Row],[Aspect Ratio]]</f>
        <v>1230.3157894736842</v>
      </c>
      <c r="H17" s="2">
        <v>2400</v>
      </c>
      <c r="I17" s="2">
        <v>1000</v>
      </c>
    </row>
    <row r="18" spans="2:9" x14ac:dyDescent="0.25">
      <c r="B18" t="s">
        <v>17</v>
      </c>
      <c r="C18">
        <v>2400</v>
      </c>
      <c r="D18">
        <v>1600</v>
      </c>
      <c r="E18" s="2">
        <f>Table1[[#This Row],[Logo Width]]/Table1[[#This Row],[Logo Height]]</f>
        <v>1.5</v>
      </c>
      <c r="F18">
        <f t="shared" si="0"/>
        <v>974</v>
      </c>
      <c r="G18">
        <f>Table1[[#This Row],[Height (new std.)]]*Table1[[#This Row],[Aspect Ratio]]</f>
        <v>1461</v>
      </c>
      <c r="H18" s="2">
        <v>2400</v>
      </c>
      <c r="I18" s="2">
        <v>800</v>
      </c>
    </row>
    <row r="19" spans="2:9" x14ac:dyDescent="0.25">
      <c r="B19" t="s">
        <v>18</v>
      </c>
      <c r="C19">
        <v>2400</v>
      </c>
      <c r="D19">
        <v>1400</v>
      </c>
      <c r="E19" s="2">
        <f>Table1[[#This Row],[Logo Width]]/Table1[[#This Row],[Logo Height]]</f>
        <v>1.7142857142857142</v>
      </c>
      <c r="F19">
        <f t="shared" si="0"/>
        <v>974</v>
      </c>
      <c r="G19">
        <f>Table1[[#This Row],[Height (new std.)]]*Table1[[#This Row],[Aspect Ratio]]</f>
        <v>1669.7142857142856</v>
      </c>
      <c r="H19" s="2">
        <v>2400</v>
      </c>
      <c r="I19" s="2">
        <v>800</v>
      </c>
    </row>
    <row r="20" spans="2:9" x14ac:dyDescent="0.25">
      <c r="B20" t="s">
        <v>19</v>
      </c>
      <c r="C20">
        <v>2400</v>
      </c>
      <c r="D20">
        <v>1800</v>
      </c>
      <c r="E20" s="2">
        <f>Table1[[#This Row],[Logo Width]]/Table1[[#This Row],[Logo Height]]</f>
        <v>1.3333333333333333</v>
      </c>
      <c r="F20">
        <f t="shared" si="0"/>
        <v>974</v>
      </c>
      <c r="G20">
        <f>Table1[[#This Row],[Height (new std.)]]*Table1[[#This Row],[Aspect Ratio]]</f>
        <v>1298.6666666666665</v>
      </c>
      <c r="H20" s="2">
        <v>2400</v>
      </c>
      <c r="I20" s="2">
        <v>1200</v>
      </c>
    </row>
    <row r="21" spans="2:9" x14ac:dyDescent="0.25">
      <c r="B21" t="s">
        <v>20</v>
      </c>
      <c r="C21">
        <v>2400</v>
      </c>
      <c r="D21">
        <v>2000</v>
      </c>
      <c r="E21" s="2">
        <f>Table1[[#This Row],[Logo Width]]/Table1[[#This Row],[Logo Height]]</f>
        <v>1.2</v>
      </c>
      <c r="F21">
        <f t="shared" si="0"/>
        <v>974</v>
      </c>
      <c r="G21">
        <f>Table1[[#This Row],[Height (new std.)]]*Table1[[#This Row],[Aspect Ratio]]</f>
        <v>1168.8</v>
      </c>
      <c r="H21" s="2">
        <v>2400</v>
      </c>
      <c r="I21" s="2">
        <v>800</v>
      </c>
    </row>
    <row r="22" spans="2:9" x14ac:dyDescent="0.25">
      <c r="B22" t="s">
        <v>21</v>
      </c>
      <c r="C22">
        <v>2400</v>
      </c>
      <c r="D22">
        <v>3000</v>
      </c>
      <c r="E22" s="2">
        <f>Table1[[#This Row],[Logo Width]]/Table1[[#This Row],[Logo Height]]</f>
        <v>0.8</v>
      </c>
      <c r="F22">
        <f t="shared" si="0"/>
        <v>974</v>
      </c>
      <c r="G22">
        <f>Table1[[#This Row],[Height (new std.)]]*Table1[[#This Row],[Aspect Ratio]]</f>
        <v>779.2</v>
      </c>
      <c r="H22" s="2">
        <v>1200</v>
      </c>
      <c r="I22" s="2">
        <v>600</v>
      </c>
    </row>
    <row r="23" spans="2:9" x14ac:dyDescent="0.25">
      <c r="B23" t="s">
        <v>22</v>
      </c>
      <c r="C23">
        <v>2400</v>
      </c>
      <c r="D23">
        <v>1400</v>
      </c>
      <c r="E23" s="2">
        <f>Table1[[#This Row],[Logo Width]]/Table1[[#This Row],[Logo Height]]</f>
        <v>1.7142857142857142</v>
      </c>
      <c r="F23">
        <f t="shared" si="0"/>
        <v>974</v>
      </c>
      <c r="G23">
        <f>Table1[[#This Row],[Height (new std.)]]*Table1[[#This Row],[Aspect Ratio]]</f>
        <v>1669.7142857142856</v>
      </c>
      <c r="H23" s="2">
        <v>2400</v>
      </c>
      <c r="I23" s="2">
        <v>800</v>
      </c>
    </row>
    <row r="24" spans="2:9" x14ac:dyDescent="0.25">
      <c r="B24" t="s">
        <v>23</v>
      </c>
      <c r="C24">
        <v>2400</v>
      </c>
      <c r="D24">
        <v>2800</v>
      </c>
      <c r="E24" s="2">
        <f>Table1[[#This Row],[Logo Width]]/Table1[[#This Row],[Logo Height]]</f>
        <v>0.8571428571428571</v>
      </c>
      <c r="F24">
        <f t="shared" si="0"/>
        <v>974</v>
      </c>
      <c r="G24">
        <f>Table1[[#This Row],[Height (new std.)]]*Table1[[#This Row],[Aspect Ratio]]</f>
        <v>834.85714285714278</v>
      </c>
      <c r="H24" s="2">
        <v>2400</v>
      </c>
      <c r="I24" s="2">
        <v>800</v>
      </c>
    </row>
    <row r="25" spans="2:9" x14ac:dyDescent="0.25">
      <c r="B25" t="s">
        <v>24</v>
      </c>
      <c r="C25">
        <v>2400</v>
      </c>
      <c r="D25">
        <v>2000</v>
      </c>
      <c r="E25" s="2">
        <f>Table1[[#This Row],[Logo Width]]/Table1[[#This Row],[Logo Height]]</f>
        <v>1.2</v>
      </c>
      <c r="F25">
        <f t="shared" si="0"/>
        <v>974</v>
      </c>
      <c r="G25">
        <f>Table1[[#This Row],[Height (new std.)]]*Table1[[#This Row],[Aspect Ratio]]</f>
        <v>1168.8</v>
      </c>
      <c r="H25" s="2">
        <v>2400</v>
      </c>
      <c r="I25" s="2">
        <v>1100</v>
      </c>
    </row>
    <row r="26" spans="2:9" x14ac:dyDescent="0.25">
      <c r="B26" t="s">
        <v>25</v>
      </c>
      <c r="C26">
        <v>2400</v>
      </c>
      <c r="D26">
        <v>1500</v>
      </c>
      <c r="E26" s="2">
        <f>Table1[[#This Row],[Logo Width]]/Table1[[#This Row],[Logo Height]]</f>
        <v>1.6</v>
      </c>
      <c r="F26">
        <f t="shared" si="0"/>
        <v>974</v>
      </c>
      <c r="G26">
        <f>Table1[[#This Row],[Height (new std.)]]*Table1[[#This Row],[Aspect Ratio]]</f>
        <v>1558.4</v>
      </c>
      <c r="H26" s="2">
        <v>2400</v>
      </c>
      <c r="I26" s="2">
        <v>800</v>
      </c>
    </row>
    <row r="27" spans="2:9" x14ac:dyDescent="0.25">
      <c r="B27" t="s">
        <v>26</v>
      </c>
      <c r="C27">
        <v>2400</v>
      </c>
      <c r="D27">
        <v>2600</v>
      </c>
      <c r="E27" s="2">
        <f>Table1[[#This Row],[Logo Width]]/Table1[[#This Row],[Logo Height]]</f>
        <v>0.92307692307692313</v>
      </c>
      <c r="F27">
        <f t="shared" si="0"/>
        <v>974</v>
      </c>
      <c r="G27">
        <f>Table1[[#This Row],[Height (new std.)]]*Table1[[#This Row],[Aspect Ratio]]</f>
        <v>899.07692307692309</v>
      </c>
      <c r="H27" s="2">
        <v>2400</v>
      </c>
      <c r="I27" s="2">
        <v>800</v>
      </c>
    </row>
    <row r="28" spans="2:9" x14ac:dyDescent="0.25">
      <c r="B28" t="s">
        <v>27</v>
      </c>
      <c r="C28">
        <v>2400</v>
      </c>
      <c r="D28">
        <v>1515</v>
      </c>
      <c r="E28" s="2">
        <f>Table1[[#This Row],[Logo Width]]/Table1[[#This Row],[Logo Height]]</f>
        <v>1.5841584158415842</v>
      </c>
      <c r="F28">
        <f t="shared" si="0"/>
        <v>974</v>
      </c>
      <c r="G28">
        <f>Table1[[#This Row],[Height (new std.)]]*Table1[[#This Row],[Aspect Ratio]]</f>
        <v>1542.970297029703</v>
      </c>
      <c r="H28" s="2">
        <v>2400</v>
      </c>
      <c r="I28" s="2">
        <v>990</v>
      </c>
    </row>
    <row r="29" spans="2:9" x14ac:dyDescent="0.25">
      <c r="B29" t="s">
        <v>28</v>
      </c>
      <c r="C29">
        <v>2400</v>
      </c>
      <c r="D29">
        <v>2200</v>
      </c>
      <c r="E29" s="2">
        <f>Table1[[#This Row],[Logo Width]]/Table1[[#This Row],[Logo Height]]</f>
        <v>1.0909090909090908</v>
      </c>
      <c r="F29">
        <f t="shared" si="0"/>
        <v>974</v>
      </c>
      <c r="G29">
        <f>Table1[[#This Row],[Height (new std.)]]*Table1[[#This Row],[Aspect Ratio]]</f>
        <v>1062.5454545454545</v>
      </c>
      <c r="H29" s="2">
        <v>2400</v>
      </c>
      <c r="I29" s="2">
        <v>1000</v>
      </c>
    </row>
    <row r="30" spans="2:9" x14ac:dyDescent="0.25">
      <c r="B30" t="s">
        <v>29</v>
      </c>
      <c r="C30">
        <v>2400</v>
      </c>
      <c r="D30">
        <v>1301</v>
      </c>
      <c r="E30" s="2">
        <f>Table1[[#This Row],[Logo Width]]/Table1[[#This Row],[Logo Height]]</f>
        <v>1.8447348193697155</v>
      </c>
      <c r="F30">
        <f t="shared" si="0"/>
        <v>974</v>
      </c>
      <c r="G30">
        <f>Table1[[#This Row],[Height (new std.)]]*Table1[[#This Row],[Aspect Ratio]]</f>
        <v>1796.771714066103</v>
      </c>
      <c r="H30" s="2">
        <v>2400</v>
      </c>
      <c r="I30" s="2">
        <v>800</v>
      </c>
    </row>
    <row r="31" spans="2:9" x14ac:dyDescent="0.25">
      <c r="B31" t="s">
        <v>30</v>
      </c>
      <c r="C31">
        <v>2400</v>
      </c>
      <c r="D31">
        <v>974</v>
      </c>
      <c r="E31" s="2">
        <f>Table1[[#This Row],[Logo Width]]/Table1[[#This Row],[Logo Height]]</f>
        <v>2.4640657084188913</v>
      </c>
      <c r="F31">
        <f t="shared" si="0"/>
        <v>974</v>
      </c>
      <c r="G31">
        <f>Table1[[#This Row],[Height (new std.)]]*Table1[[#This Row],[Aspect Ratio]]</f>
        <v>2400</v>
      </c>
      <c r="H31" s="2">
        <v>2400</v>
      </c>
      <c r="I31" s="2">
        <v>800</v>
      </c>
    </row>
    <row r="32" spans="2:9" x14ac:dyDescent="0.25">
      <c r="B32" t="s">
        <v>31</v>
      </c>
      <c r="C32">
        <v>2400</v>
      </c>
      <c r="D32">
        <v>1959</v>
      </c>
      <c r="E32" s="2">
        <f>Table1[[#This Row],[Logo Width]]/Table1[[#This Row],[Logo Height]]</f>
        <v>1.2251148545176109</v>
      </c>
      <c r="F32">
        <f t="shared" si="0"/>
        <v>974</v>
      </c>
      <c r="G32">
        <f>Table1[[#This Row],[Height (new std.)]]*Table1[[#This Row],[Aspect Ratio]]</f>
        <v>1193.2618683001531</v>
      </c>
      <c r="H32" s="2">
        <v>2400</v>
      </c>
      <c r="I32" s="2">
        <v>1000</v>
      </c>
    </row>
    <row r="33" spans="2:9" x14ac:dyDescent="0.25">
      <c r="B33" t="s">
        <v>32</v>
      </c>
      <c r="C33">
        <v>2400</v>
      </c>
      <c r="D33">
        <v>1565</v>
      </c>
      <c r="E33" s="2">
        <f>Table1[[#This Row],[Logo Width]]/Table1[[#This Row],[Logo Height]]</f>
        <v>1.5335463258785942</v>
      </c>
      <c r="F33">
        <f t="shared" si="0"/>
        <v>974</v>
      </c>
      <c r="G33">
        <f>Table1[[#This Row],[Height (new std.)]]*Table1[[#This Row],[Aspect Ratio]]</f>
        <v>1493.6741214057508</v>
      </c>
      <c r="H33" s="2">
        <v>2400</v>
      </c>
      <c r="I33" s="2">
        <v>1200</v>
      </c>
    </row>
    <row r="34" spans="2:9" x14ac:dyDescent="0.25">
      <c r="B34" t="s">
        <v>33</v>
      </c>
      <c r="C34">
        <v>2400</v>
      </c>
      <c r="D34">
        <v>2368</v>
      </c>
      <c r="E34" s="2">
        <f>Table1[[#This Row],[Logo Width]]/Table1[[#This Row],[Logo Height]]</f>
        <v>1.0135135135135136</v>
      </c>
      <c r="F34">
        <f t="shared" si="0"/>
        <v>974</v>
      </c>
      <c r="G34">
        <f>Table1[[#This Row],[Height (new std.)]]*Table1[[#This Row],[Aspect Ratio]]</f>
        <v>987.16216216216219</v>
      </c>
      <c r="H34" s="2">
        <v>2400</v>
      </c>
      <c r="I34" s="2">
        <v>800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Moynihan</dc:creator>
  <cp:lastModifiedBy>James Moynihan</cp:lastModifiedBy>
  <dcterms:created xsi:type="dcterms:W3CDTF">2020-06-10T01:03:02Z</dcterms:created>
  <dcterms:modified xsi:type="dcterms:W3CDTF">2020-06-10T04:14:20Z</dcterms:modified>
</cp:coreProperties>
</file>